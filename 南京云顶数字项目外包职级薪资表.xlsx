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全职职级薪资" sheetId="1" r:id="rId3"/>
    <sheet name="兼职职级薪资" sheetId="2" r:id="rId4"/>
  </sheets>
  <calcPr fullCalcOnLoad="0"/>
</workbook>
</file>

<file path=xl/sharedStrings.xml><?xml version="1.0" encoding="utf-8"?>
<sst xmlns="http://schemas.openxmlformats.org/spreadsheetml/2006/main" count="62" uniqueCount="62">
  <si>
    <t/>
  </si>
  <si>
    <t>岗位职级</t>
  </si>
  <si>
    <t>对外人天</t>
  </si>
  <si>
    <t>人天成本</t>
  </si>
  <si>
    <t>岗位工资</t>
  </si>
  <si>
    <t>社保</t>
  </si>
  <si>
    <t>公积金</t>
  </si>
  <si>
    <t>到手工资</t>
  </si>
  <si>
    <t>公司总成本</t>
  </si>
  <si>
    <t>公司（24.5%）</t>
  </si>
  <si>
    <t>个人（10.5%+10）</t>
  </si>
  <si>
    <t>公司（5%）</t>
  </si>
  <si>
    <t>个人（5%）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</si>
  <si>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</si>
  <si>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</si>
  <si>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</si>
  <si>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</si>
  <si>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</si>
  <si>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</si>
  <si>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</si>
  <si>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</si>
  <si>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</si>
  <si>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</si>
  <si>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</si>
  <si>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</si>
  <si>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</si>
  <si>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</si>
  <si>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</si>
  <si>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</si>
  <si>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</si>
  <si>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</si>
  <si>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职级时薪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</si>
  <si>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</si>
  <si>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</si>
  <si>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</si>
  <si>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</si>
  <si>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</si>
  <si>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</si>
  <si>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</si>
  <si>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</si>
  <si>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</si>
  <si>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</si>
  <si>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</si>
  <si>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</si>
  <si>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</si>
  <si>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</si>
  <si>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</si>
  <si>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</si>
  <si>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</si>
  <si>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</si>
  <si>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商业险</t>
  </si>
  <si>
    <t>商业保险</t>
  </si>
  <si>
    <t>项目奖金</t>
  </si>
  <si>
    <t>个人（10%）</t>
  </si>
  <si>
    <t>公司（20%）</t>
  </si>
  <si>
    <t>岗位标签</t>
  </si>
  <si>
    <t>初级</t>
  </si>
  <si>
    <t>中级</t>
  </si>
  <si>
    <t>高级</t>
  </si>
  <si>
    <t>资深</t>
  </si>
  <si>
    <t>专家</t>
  </si>
  <si>
    <t>公司（10%）</t>
  </si>
</sst>
</file>

<file path=xl/styles.xml><?xml version="1.0" encoding="utf-8"?>
<styleSheet xmlns="http://schemas.openxmlformats.org/spreadsheetml/2006/main">
  <fonts count="6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sz val="12"/>
    </font>
    <font/>
    <font>
      <name val="Microsoft YaHe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>
    <xf fontId="5" fillId="0" borderId="0" xfId="0" applyNumberFormat="1" applyFont="1" applyFill="1" applyBorder="1" applyAlignment="1">
      <alignment vertical="center"/>
    </xf>
  </cellStyleXfs>
  <cellXfs count="3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/>
    </xf>
    <xf fontId="3" fillId="0" borderId="2" xfId="0">
      <alignment horizontal="center" vertical="center"/>
    </xf>
    <xf fontId="0" fillId="0" borderId="1" xfId="0">
      <alignment vertical="center"/>
    </xf>
    <xf fontId="0" fillId="0" borderId="3" xfId="0">
      <alignment vertical="center"/>
    </xf>
    <xf fontId="0" fillId="0" borderId="1" xfId="0">
      <alignment horizontal="center" vertical="center"/>
    </xf>
    <xf fontId="0" fillId="0" borderId="2" xfId="0">
      <alignment horizontal="center" vertical="center"/>
    </xf>
    <xf fontId="0" fillId="0" borderId="4" xfId="0">
      <alignment horizontal="center" vertical="center"/>
    </xf>
    <xf fontId="3" fillId="0" borderId="1" xfId="0">
      <alignment horizontal="center" vertical="center"/>
    </xf>
    <xf fontId="3" fillId="0" borderId="2" xfId="0">
      <alignment horizontal="center" vertical="center"/>
    </xf>
    <xf fontId="0" fillId="0" borderId="1" xfId="0">
      <alignment vertical="center"/>
    </xf>
    <xf fontId="0" fillId="0" borderId="3" xfId="0">
      <alignment vertical="center"/>
    </xf>
    <xf fontId="0" fillId="0" borderId="1" xfId="0">
      <alignment horizontal="center" vertical="center"/>
    </xf>
    <xf fontId="0" fillId="0" borderId="2" xfId="0">
      <alignment horizontal="center" vertical="center"/>
    </xf>
    <xf fontId="0" fillId="0" borderId="4" xfId="0">
      <alignment horizontal="center" vertical="center"/>
    </xf>
    <xf fontId="3" fillId="0" borderId="0" xfId="0">
      <alignment horizontal="center" vertical="center"/>
    </xf>
    <xf fontId="0" fillId="0" borderId="0" xfId="0">
      <alignment horizontal="center" vertical="center"/>
    </xf>
    <xf fontId="3" fillId="0" borderId="5" xfId="0">
      <alignment horizontal="center" vertical="center"/>
    </xf>
    <xf fontId="0" fillId="0" borderId="5" xfId="0">
      <alignment vertical="center"/>
    </xf>
    <xf fontId="0" fillId="0" borderId="5" xfId="0">
      <alignment horizontal="center" vertical="center"/>
    </xf>
    <xf fontId="0" fillId="0" borderId="6" xfId="0">
      <alignment horizontal="center" vertical="center"/>
    </xf>
    <xf fontId="0" fillId="0" borderId="7" xfId="0">
      <alignment vertical="center"/>
    </xf>
    <xf fontId="0" fillId="0" borderId="8" xfId="0">
      <alignment vertical="center"/>
    </xf>
    <xf fontId="0" fillId="0" borderId="9" xfId="0">
      <alignment vertical="center"/>
    </xf>
    <xf fontId="0" fillId="0" borderId="0" xfId="0">
      <alignment horizontal="center" vertical="center"/>
    </xf>
    <xf fontId="3" fillId="0" borderId="5" xfId="0">
      <alignment horizontal="center" vertical="center"/>
    </xf>
    <xf fontId="0" fillId="0" borderId="5" xfId="0">
      <alignment vertical="center"/>
    </xf>
    <xf fontId="0" fillId="0" borderId="5" xfId="0">
      <alignment horizontal="center" vertical="center"/>
    </xf>
    <xf fontId="0" fillId="0" borderId="6" xfId="0">
      <alignment horizontal="center" vertical="center"/>
    </xf>
    <xf fontId="3" fillId="0" borderId="4" xfId="0">
      <alignment horizontal="center" vertical="center"/>
    </xf>
    <xf fontId="4" fillId="0" borderId="10" xfId="0">
      <alignment vertical="center"/>
    </xf>
    <xf fontId="0" fillId="0" borderId="11" xfId="0">
      <alignment vertical="center"/>
    </xf>
    <xf fontId="0" fillId="0" borderId="1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全职职级薪资">
    <tabColor/>
  </sheetPr>
  <dimension ref="K20"/>
  <sheetViews>
    <sheetView showGridLines="1" rightToLeft="0" workbookViewId="0"/>
  </sheetViews>
  <sheetFormatPr baseColWidth="13" defaultRowHeight="18" customHeight="1"/>
  <cols>
    <col min="1" max="2" width="13.4844" customWidth="1"/>
    <col min="3" max="4" width="20.2344" customWidth="1"/>
    <col min="5" max="11" width="20.2344" customWidth="1"/>
  </cols>
  <sheetData>
    <row r="1" spans="1:11">
      <c r="A1" s="32" t="s">
        <v>55</v>
      </c>
      <c r="B1" s="28" t="s">
        <v>1</v>
      </c>
      <c r="C1" s="5" t="s">
        <v>31</v>
      </c>
      <c r="D1" s="5" t="s">
        <v>3</v>
      </c>
      <c r="E1" s="4" t="s">
        <v>4</v>
      </c>
      <c r="F1" s="4" t="s">
        <v>5</v>
      </c>
      <c r="G1" s="6" t="s"/>
      <c r="H1" s="4" t="s">
        <v>6</v>
      </c>
      <c r="I1" s="6" t="s"/>
      <c r="J1" s="4" t="s">
        <v>7</v>
      </c>
      <c r="K1" s="4" t="s">
        <v>8</v>
      </c>
    </row>
    <row r="2" spans="1:11">
      <c r="A2" s="33" t="s"/>
      <c r="B2" s="29" t="s"/>
      <c r="C2" s="7" t="s"/>
      <c r="D2" s="7" t="s"/>
      <c r="E2" s="6" t="s"/>
      <c r="F2" s="4" t="s">
        <v>9</v>
      </c>
      <c r="G2" s="4" t="s">
        <v>10</v>
      </c>
      <c r="H2" s="4" t="s">
        <v>11</v>
      </c>
      <c r="I2" s="4" t="s">
        <v>12</v>
      </c>
      <c r="J2" s="6" t="s"/>
      <c r="K2" s="6" t="s"/>
    </row>
    <row r="3" spans="1:11">
      <c r="A3" s="10" t="s">
        <v>56</v>
      </c>
      <c r="B3" s="30" t="s">
        <v>13</v>
      </c>
      <c r="C3" s="8">
        <v>40</v>
      </c>
      <c r="D3" s="8">
        <v>200</v>
      </c>
      <c r="E3" s="8">
        <v>4000</v>
      </c>
      <c r="F3" s="8">
        <f>=E3*0.245</f>
        <v>980</v>
      </c>
      <c r="G3" s="8">
        <f>=E3*0.105+10</f>
        <v>430</v>
      </c>
      <c r="H3" s="8">
        <f>=E3*0.05</f>
        <v>200</v>
      </c>
      <c r="I3" s="8">
        <f>=E3*0.05</f>
        <v>200</v>
      </c>
      <c r="J3" s="8">
        <f>=E3-G3-I3</f>
        <v>3370</v>
      </c>
      <c r="K3" s="8">
        <f>=E3+F3+H3</f>
        <v>5180</v>
      </c>
    </row>
    <row r="4" spans="1:11">
      <c r="A4" s="34" t="s"/>
      <c r="B4" s="30" t="s">
        <v>14</v>
      </c>
      <c r="C4" s="8">
        <v>50</v>
      </c>
      <c r="D4" s="8">
        <v>250</v>
      </c>
      <c r="E4" s="8">
        <v>5000</v>
      </c>
      <c r="F4" s="8">
        <f>=E4*0.245</f>
        <v>1225</v>
      </c>
      <c r="G4" s="8">
        <f>=E4*0.105+10</f>
        <v>535</v>
      </c>
      <c r="H4" s="8">
        <f>=E4*0.05</f>
        <v>250</v>
      </c>
      <c r="I4" s="8">
        <f>=E4*0.05</f>
        <v>250</v>
      </c>
      <c r="J4" s="8">
        <f>=E4-G4-I4</f>
        <v>4215</v>
      </c>
      <c r="K4" s="8">
        <f>=E4+F4+H4</f>
        <v>6475</v>
      </c>
    </row>
    <row r="5" spans="1:11">
      <c r="A5" s="35" t="s"/>
      <c r="B5" s="30" t="s">
        <v>15</v>
      </c>
      <c r="C5" s="8">
        <v>60</v>
      </c>
      <c r="D5" s="8">
        <v>300</v>
      </c>
      <c r="E5" s="8">
        <v>6000</v>
      </c>
      <c r="F5" s="8">
        <f>=E5*0.245</f>
        <v>1470</v>
      </c>
      <c r="G5" s="8">
        <f>=E5*0.105+10</f>
        <v>640</v>
      </c>
      <c r="H5" s="8">
        <f>=E5*0.05</f>
        <v>300</v>
      </c>
      <c r="I5" s="8">
        <f>=E5*0.05</f>
        <v>300</v>
      </c>
      <c r="J5" s="8">
        <f>=E5-G5-I5</f>
        <v>5060</v>
      </c>
      <c r="K5" s="8">
        <f>=E5+F5+H5</f>
        <v>7770</v>
      </c>
    </row>
    <row r="6" spans="1:11">
      <c r="A6" s="10" t="s">
        <v>57</v>
      </c>
      <c r="B6" s="30" t="s">
        <v>16</v>
      </c>
      <c r="C6" s="8">
        <v>70</v>
      </c>
      <c r="D6" s="8">
        <v>350</v>
      </c>
      <c r="E6" s="8">
        <v>7000</v>
      </c>
      <c r="F6" s="8">
        <f>=E6*0.245</f>
        <v>1715</v>
      </c>
      <c r="G6" s="8">
        <f>=E6*0.105+10</f>
        <v>745</v>
      </c>
      <c r="H6" s="8">
        <f>=E6*0.05</f>
        <v>350</v>
      </c>
      <c r="I6" s="8">
        <f>=E6*0.05</f>
        <v>350</v>
      </c>
      <c r="J6" s="8">
        <f>=E6-G6-I6</f>
        <v>5905</v>
      </c>
      <c r="K6" s="8">
        <f>=E6+F6+H6</f>
        <v>9065</v>
      </c>
    </row>
    <row r="7" spans="1:11">
      <c r="A7" s="34" t="s"/>
      <c r="B7" s="30" t="s">
        <v>17</v>
      </c>
      <c r="C7" s="8">
        <v>80</v>
      </c>
      <c r="D7" s="8">
        <v>400</v>
      </c>
      <c r="E7" s="8">
        <v>8000</v>
      </c>
      <c r="F7" s="8">
        <f>=E7*0.245</f>
        <v>1960</v>
      </c>
      <c r="G7" s="8">
        <f>=E7*0.105+10</f>
        <v>850</v>
      </c>
      <c r="H7" s="8">
        <f>=E7*0.05</f>
        <v>400</v>
      </c>
      <c r="I7" s="8">
        <f>=E7*0.05</f>
        <v>400</v>
      </c>
      <c r="J7" s="8">
        <f>=E7-G7-I7</f>
        <v>6750</v>
      </c>
      <c r="K7" s="8">
        <f>=E7+F7+H7</f>
        <v>10360</v>
      </c>
    </row>
    <row r="8" spans="1:11">
      <c r="A8" s="35" t="s"/>
      <c r="B8" s="30" t="s">
        <v>18</v>
      </c>
      <c r="C8" s="8">
        <v>90</v>
      </c>
      <c r="D8" s="8">
        <v>450</v>
      </c>
      <c r="E8" s="8">
        <v>9000</v>
      </c>
      <c r="F8" s="8">
        <f>=E8*0.245</f>
        <v>2205</v>
      </c>
      <c r="G8" s="8">
        <f>=E8*0.105+10</f>
        <v>955</v>
      </c>
      <c r="H8" s="8">
        <f>=E8*0.05</f>
        <v>450</v>
      </c>
      <c r="I8" s="8">
        <f>=E8*0.05</f>
        <v>450</v>
      </c>
      <c r="J8" s="8">
        <f>=E8-G8-I8</f>
        <v>7595</v>
      </c>
      <c r="K8" s="8">
        <f>=E8+F8+H8</f>
        <v>11655</v>
      </c>
    </row>
    <row r="9" spans="1:11">
      <c r="A9" s="10" t="s">
        <v>58</v>
      </c>
      <c r="B9" s="30" t="s">
        <v>19</v>
      </c>
      <c r="C9" s="8">
        <v>100</v>
      </c>
      <c r="D9" s="8">
        <v>500</v>
      </c>
      <c r="E9" s="8">
        <v>10000</v>
      </c>
      <c r="F9" s="8">
        <f>=E9*0.245</f>
        <v>2450</v>
      </c>
      <c r="G9" s="8">
        <f>=E9*0.105+10</f>
        <v>1060</v>
      </c>
      <c r="H9" s="8">
        <f>=E9*0.05</f>
        <v>500</v>
      </c>
      <c r="I9" s="8">
        <f>=E9*0.05</f>
        <v>500</v>
      </c>
      <c r="J9" s="8">
        <f>=E9-G9-I9</f>
        <v>8440</v>
      </c>
      <c r="K9" s="8">
        <f>=E9+F9+H9</f>
        <v>12950</v>
      </c>
    </row>
    <row r="10" spans="1:11">
      <c r="A10" s="34" t="s"/>
      <c r="B10" s="30" t="s">
        <v>20</v>
      </c>
      <c r="C10" s="8">
        <v>110</v>
      </c>
      <c r="D10" s="8">
        <v>550</v>
      </c>
      <c r="E10" s="8">
        <v>11000</v>
      </c>
      <c r="F10" s="8">
        <f>=E10*0.245</f>
        <v>2695</v>
      </c>
      <c r="G10" s="8">
        <f>=E10*0.105+10</f>
        <v>1165</v>
      </c>
      <c r="H10" s="8">
        <f>=E10*0.05</f>
        <v>550</v>
      </c>
      <c r="I10" s="8">
        <f>=E10*0.05</f>
        <v>550</v>
      </c>
      <c r="J10" s="8">
        <f>=E10-G10-I10</f>
        <v>9285</v>
      </c>
      <c r="K10" s="8">
        <f>=E10+F10+H10</f>
        <v>14245</v>
      </c>
    </row>
    <row r="11" spans="1:11">
      <c r="A11" s="34" t="s"/>
      <c r="B11" s="30" t="s">
        <v>21</v>
      </c>
      <c r="C11" s="8">
        <v>120</v>
      </c>
      <c r="D11" s="8">
        <v>600</v>
      </c>
      <c r="E11" s="8">
        <v>12000</v>
      </c>
      <c r="F11" s="8">
        <f>=E11*0.245</f>
        <v>2940</v>
      </c>
      <c r="G11" s="8">
        <f>=E11*0.105+10</f>
        <v>1270</v>
      </c>
      <c r="H11" s="8">
        <f>=E11*0.05</f>
        <v>600</v>
      </c>
      <c r="I11" s="8">
        <f>=E11*0.05</f>
        <v>600</v>
      </c>
      <c r="J11" s="8">
        <f>=E11-G11-I11</f>
        <v>10130</v>
      </c>
      <c r="K11" s="8">
        <f>=E11+F11+H11</f>
        <v>15540</v>
      </c>
    </row>
    <row r="12" spans="1:11">
      <c r="A12" s="35" t="s"/>
      <c r="B12" s="30" t="s">
        <v>22</v>
      </c>
      <c r="C12" s="8">
        <v>130</v>
      </c>
      <c r="D12" s="8">
        <v>650</v>
      </c>
      <c r="E12" s="8">
        <v>13000</v>
      </c>
      <c r="F12" s="8">
        <f>=E12*0.245</f>
        <v>3185</v>
      </c>
      <c r="G12" s="8">
        <f>=E12*0.105+10</f>
        <v>1375</v>
      </c>
      <c r="H12" s="8">
        <f>=E12*0.05</f>
        <v>650</v>
      </c>
      <c r="I12" s="8">
        <f>=E12*0.05</f>
        <v>650</v>
      </c>
      <c r="J12" s="8">
        <f>=E12-G12-I12</f>
        <v>10975</v>
      </c>
      <c r="K12" s="8">
        <f>=E12+F12+H12</f>
        <v>16835</v>
      </c>
    </row>
    <row r="13" spans="1:11">
      <c r="A13" s="10" t="s">
        <v>59</v>
      </c>
      <c r="B13" s="30" t="s">
        <v>23</v>
      </c>
      <c r="C13" s="8">
        <v>140</v>
      </c>
      <c r="D13" s="8">
        <v>700</v>
      </c>
      <c r="E13" s="8">
        <v>14000</v>
      </c>
      <c r="F13" s="8">
        <f>=E13*0.245</f>
        <v>3430</v>
      </c>
      <c r="G13" s="8">
        <f>=E13*0.105+10</f>
        <v>1480</v>
      </c>
      <c r="H13" s="8">
        <f>=E13*0.05</f>
        <v>700</v>
      </c>
      <c r="I13" s="8">
        <f>=E13*0.05</f>
        <v>700</v>
      </c>
      <c r="J13" s="8">
        <f>=E13-G13-I13</f>
        <v>11820</v>
      </c>
      <c r="K13" s="8">
        <f>=E13+F13+H13</f>
        <v>18130</v>
      </c>
    </row>
    <row r="14" spans="1:11">
      <c r="A14" s="34" t="s"/>
      <c r="B14" s="30" t="s">
        <v>24</v>
      </c>
      <c r="C14" s="8">
        <v>150</v>
      </c>
      <c r="D14" s="8">
        <v>750</v>
      </c>
      <c r="E14" s="8">
        <v>15000</v>
      </c>
      <c r="F14" s="8">
        <f>=E14*0.245</f>
        <v>3675</v>
      </c>
      <c r="G14" s="8">
        <f>=E14*0.105+10</f>
        <v>1585</v>
      </c>
      <c r="H14" s="8">
        <f>=E14*0.05</f>
        <v>750</v>
      </c>
      <c r="I14" s="8">
        <f>=E14*0.05</f>
        <v>750</v>
      </c>
      <c r="J14" s="8">
        <f>=E14-G14-I14</f>
        <v>12665</v>
      </c>
      <c r="K14" s="8">
        <f>=E14+F14+H14</f>
        <v>19425</v>
      </c>
    </row>
    <row r="15" spans="1:11">
      <c r="A15" s="34" t="s"/>
      <c r="B15" s="30" t="s">
        <v>25</v>
      </c>
      <c r="C15" s="8">
        <v>160</v>
      </c>
      <c r="D15" s="8">
        <v>800</v>
      </c>
      <c r="E15" s="8">
        <v>16000</v>
      </c>
      <c r="F15" s="8">
        <f>=E15*0.245</f>
        <v>3920</v>
      </c>
      <c r="G15" s="8">
        <f>=E15*0.105+10</f>
        <v>1690</v>
      </c>
      <c r="H15" s="8">
        <f>=E15*0.05</f>
        <v>800</v>
      </c>
      <c r="I15" s="8">
        <f>=E15*0.05</f>
        <v>800</v>
      </c>
      <c r="J15" s="8">
        <f>=E15-G15-I15</f>
        <v>13510</v>
      </c>
      <c r="K15" s="8">
        <f>=E15+F15+H15</f>
        <v>20720</v>
      </c>
    </row>
    <row r="16" spans="1:11">
      <c r="A16" s="35" t="s"/>
      <c r="B16" s="30" t="s">
        <v>26</v>
      </c>
      <c r="C16" s="8">
        <v>170</v>
      </c>
      <c r="D16" s="8">
        <v>850</v>
      </c>
      <c r="E16" s="8">
        <v>17000</v>
      </c>
      <c r="F16" s="8">
        <f>=E16*0.245</f>
        <v>4165</v>
      </c>
      <c r="G16" s="8">
        <f>=E16*0.105+10</f>
        <v>1795</v>
      </c>
      <c r="H16" s="8">
        <f>=E16*0.05</f>
        <v>850</v>
      </c>
      <c r="I16" s="8">
        <f>=E16*0.05</f>
        <v>850</v>
      </c>
      <c r="J16" s="8">
        <f>=E16-G16-I16</f>
        <v>14355</v>
      </c>
      <c r="K16" s="8">
        <f>=E16+F16+H16</f>
        <v>22015</v>
      </c>
    </row>
    <row r="17" spans="1:11">
      <c r="A17" s="10" t="s">
        <v>60</v>
      </c>
      <c r="B17" s="31" t="s">
        <v>27</v>
      </c>
      <c r="C17" s="9">
        <v>180</v>
      </c>
      <c r="D17" s="9">
        <v>900</v>
      </c>
      <c r="E17" s="9">
        <v>18000</v>
      </c>
      <c r="F17" s="9">
        <f>=E17*0.245</f>
        <v>4410</v>
      </c>
      <c r="G17" s="9">
        <f>=E17*0.105+10</f>
        <v>1900</v>
      </c>
      <c r="H17" s="9">
        <f>=E17*0.05</f>
        <v>900</v>
      </c>
      <c r="I17" s="9">
        <f>=E17*0.05</f>
        <v>900</v>
      </c>
      <c r="J17" s="9">
        <f>=E17-G17-I17</f>
        <v>15200</v>
      </c>
      <c r="K17" s="9">
        <f>=E17+F17+H17</f>
        <v>23310</v>
      </c>
    </row>
    <row r="18" spans="1:11">
      <c r="A18" s="34" t="s"/>
      <c r="B18" s="30" t="s">
        <v>28</v>
      </c>
      <c r="C18" s="8">
        <v>190</v>
      </c>
      <c r="D18" s="8">
        <v>950</v>
      </c>
      <c r="E18" s="10">
        <v>19000</v>
      </c>
      <c r="F18" s="10">
        <f>=E18*0.245</f>
        <v>4655</v>
      </c>
      <c r="G18" s="10">
        <f>=E18*0.105+10</f>
        <v>2005</v>
      </c>
      <c r="H18" s="10">
        <f>=E18*0.05</f>
        <v>950</v>
      </c>
      <c r="I18" s="10">
        <f>=E18*0.05</f>
        <v>950</v>
      </c>
      <c r="J18" s="10">
        <f>=E18-G18-I18</f>
        <v>16045</v>
      </c>
      <c r="K18" s="10">
        <f>=E18+F18+H18</f>
        <v>24605</v>
      </c>
    </row>
    <row r="19" spans="1:11">
      <c r="A19" s="34" t="s"/>
      <c r="B19" s="30" t="s">
        <v>29</v>
      </c>
      <c r="C19" s="8">
        <v>200</v>
      </c>
      <c r="D19" s="8">
        <v>1000</v>
      </c>
      <c r="E19" s="10">
        <v>20000</v>
      </c>
      <c r="F19" s="10">
        <f>=E19*0.245</f>
        <v>4900</v>
      </c>
      <c r="G19" s="10">
        <f>=E19*0.105+10</f>
        <v>2110</v>
      </c>
      <c r="H19" s="10">
        <f>=E19*0.05</f>
        <v>1000</v>
      </c>
      <c r="I19" s="10">
        <f>=E19*0.05</f>
        <v>1000</v>
      </c>
      <c r="J19" s="10">
        <f>=E19-G19-I19</f>
        <v>16890</v>
      </c>
      <c r="K19" s="10">
        <f>=E19+F19+H19</f>
        <v>25900</v>
      </c>
    </row>
    <row r="20" spans="1:11">
      <c r="A20" s="35" t="s"/>
      <c r="B20" s="30" t="s">
        <v>30</v>
      </c>
      <c r="C20" s="8">
        <v>210</v>
      </c>
      <c r="D20" s="8">
        <v>1050</v>
      </c>
      <c r="E20" s="8">
        <v>21000</v>
      </c>
      <c r="F20" s="8">
        <f>=E20*0.245</f>
        <v>5145</v>
      </c>
      <c r="G20" s="8">
        <f>=E20*0.105+10</f>
        <v>2215</v>
      </c>
      <c r="H20" s="8">
        <f>=E20*0.05</f>
        <v>1050</v>
      </c>
      <c r="I20" s="8">
        <f>=E20*0.05</f>
        <v>1050</v>
      </c>
      <c r="J20" s="8">
        <f>=E20-G20-I20</f>
        <v>17735</v>
      </c>
      <c r="K20" s="8">
        <f>=E20+F20+H20</f>
        <v>27195</v>
      </c>
    </row>
  </sheetData>
  <mergeCells count="14">
    <mergeCell ref="B1:B2"/>
    <mergeCell ref="E1:E2"/>
    <mergeCell ref="F1:G1"/>
    <mergeCell ref="H1:I1"/>
    <mergeCell ref="J1:J2"/>
    <mergeCell ref="K1:K2"/>
    <mergeCell ref="D1:D2"/>
    <mergeCell ref="C1:C2"/>
    <mergeCell ref="A1:A2"/>
    <mergeCell ref="A3:A5"/>
    <mergeCell ref="A6:A8"/>
    <mergeCell ref="A9:A12"/>
    <mergeCell ref="A13:A16"/>
    <mergeCell ref="A17:A20"/>
  </mergeCells>
</worksheet>
</file>

<file path=xl/worksheets/sheet2.xml><?xml version="1.0" encoding="utf-8"?>
<worksheet xmlns="http://schemas.openxmlformats.org/spreadsheetml/2006/main">
  <sheetPr codeName="兼职职级薪资">
    <tabColor/>
  </sheetPr>
  <dimension ref="K20"/>
  <sheetViews>
    <sheetView showGridLines="1" rightToLeft="0" workbookViewId="0"/>
  </sheetViews>
  <sheetFormatPr baseColWidth="13" defaultRowHeight="18" customHeight="1"/>
  <cols>
    <col min="1" max="2" width="13.4844" customWidth="1"/>
    <col min="3" max="4" width="20.2344" customWidth="1"/>
    <col min="5" max="11" width="20.2344" customWidth="1"/>
  </cols>
  <sheetData>
    <row r="1" spans="1:11">
      <c r="A1" s="5" t="s">
        <v>55</v>
      </c>
      <c r="B1" s="20" t="s">
        <v>1</v>
      </c>
      <c r="C1" s="12" t="s">
        <v>31</v>
      </c>
      <c r="D1" s="12" t="s">
        <v>3</v>
      </c>
      <c r="E1" s="11" t="s">
        <v>4</v>
      </c>
      <c r="F1" s="11" t="s">
        <v>51</v>
      </c>
      <c r="G1" s="13" t="s"/>
      <c r="H1" s="11" t="s">
        <v>52</v>
      </c>
      <c r="I1" s="13" t="s"/>
      <c r="J1" s="11" t="s">
        <v>7</v>
      </c>
      <c r="K1" s="11" t="s">
        <v>8</v>
      </c>
    </row>
    <row r="2" spans="1:11">
      <c r="A2" s="7" t="s"/>
      <c r="B2" s="21" t="s"/>
      <c r="C2" s="14" t="s"/>
      <c r="D2" s="14" t="s"/>
      <c r="E2" s="13" t="s"/>
      <c r="F2" s="11" t="s">
        <v>11</v>
      </c>
      <c r="G2" s="11" t="s">
        <v>12</v>
      </c>
      <c r="H2" s="11" t="s">
        <v>61</v>
      </c>
      <c r="I2" s="11" t="s">
        <v>53</v>
      </c>
      <c r="J2" s="13" t="s"/>
      <c r="K2" s="13" t="s"/>
    </row>
    <row r="3" spans="1:11">
      <c r="A3" s="16" t="s">
        <v>56</v>
      </c>
      <c r="B3" s="22" t="s">
        <v>32</v>
      </c>
      <c r="C3" s="15">
        <v>10</v>
      </c>
      <c r="D3" s="15">
        <v>100</v>
      </c>
      <c r="E3" s="15">
        <v>2000</v>
      </c>
      <c r="F3" s="15">
        <f>=E3*0.05</f>
        <v>100</v>
      </c>
      <c r="G3" s="15">
        <f>=E3*0.05</f>
        <v>100</v>
      </c>
      <c r="H3" s="15">
        <f>=E3*0.1</f>
        <v>200</v>
      </c>
      <c r="I3" s="15">
        <f>=E3*0.1</f>
        <v>200</v>
      </c>
      <c r="J3" s="15">
        <f>=E3-I3-G3-F3</f>
        <v>1600</v>
      </c>
      <c r="K3" s="15">
        <f>=E3+H3</f>
        <v>2200</v>
      </c>
    </row>
    <row r="4" spans="1:11">
      <c r="A4" s="24" t="s"/>
      <c r="B4" s="22" t="s">
        <v>33</v>
      </c>
      <c r="C4" s="15">
        <v>20</v>
      </c>
      <c r="D4" s="15">
        <v>200</v>
      </c>
      <c r="E4" s="15">
        <v>4000</v>
      </c>
      <c r="F4" s="15">
        <f>=E4*0.05</f>
        <v>200</v>
      </c>
      <c r="G4" s="15">
        <f>=E4*0.05</f>
        <v>200</v>
      </c>
      <c r="H4" s="15">
        <f>=E4*0.1</f>
        <v>400</v>
      </c>
      <c r="I4" s="15">
        <f>=E4*0.1</f>
        <v>400</v>
      </c>
      <c r="J4" s="15">
        <f>=E4-I4-G4-F4</f>
        <v>3200</v>
      </c>
      <c r="K4" s="15">
        <f>=E4+F4+H4</f>
        <v>4600</v>
      </c>
    </row>
    <row r="5" spans="1:11">
      <c r="A5" s="7" t="s"/>
      <c r="B5" s="22" t="s">
        <v>34</v>
      </c>
      <c r="C5" s="15">
        <v>30</v>
      </c>
      <c r="D5" s="15">
        <v>300</v>
      </c>
      <c r="E5" s="15">
        <v>6000</v>
      </c>
      <c r="F5" s="15">
        <f>=E5*0.05</f>
        <v>300</v>
      </c>
      <c r="G5" s="15">
        <f>=E5*0.05</f>
        <v>300</v>
      </c>
      <c r="H5" s="15">
        <f>=E5*0.1</f>
        <v>600</v>
      </c>
      <c r="I5" s="15">
        <f>=E5*0.1</f>
        <v>600</v>
      </c>
      <c r="J5" s="15">
        <f>=E5-I5-G5-F5</f>
        <v>4800</v>
      </c>
      <c r="K5" s="15">
        <f>=E5+F5+H5</f>
        <v>6900</v>
      </c>
    </row>
    <row r="6" spans="1:11">
      <c r="A6" s="16" t="s">
        <v>57</v>
      </c>
      <c r="B6" s="22" t="s">
        <v>35</v>
      </c>
      <c r="C6" s="15">
        <v>40</v>
      </c>
      <c r="D6" s="15">
        <v>400</v>
      </c>
      <c r="E6" s="15">
        <v>8000</v>
      </c>
      <c r="F6" s="15">
        <f>=E6*0.05</f>
        <v>400</v>
      </c>
      <c r="G6" s="15">
        <f>=E6*0.05</f>
        <v>400</v>
      </c>
      <c r="H6" s="15">
        <f>=E6*0.1</f>
        <v>800</v>
      </c>
      <c r="I6" s="15">
        <f>=E6*0.1</f>
        <v>800</v>
      </c>
      <c r="J6" s="15">
        <f>=E6-I6-G6-F6</f>
        <v>6400</v>
      </c>
      <c r="K6" s="15">
        <f>=E6+F6+H6</f>
        <v>9200</v>
      </c>
    </row>
    <row r="7" spans="1:11">
      <c r="A7" s="24" t="s"/>
      <c r="B7" s="22" t="s">
        <v>36</v>
      </c>
      <c r="C7" s="15">
        <v>50</v>
      </c>
      <c r="D7" s="15">
        <v>500</v>
      </c>
      <c r="E7" s="15">
        <v>10000</v>
      </c>
      <c r="F7" s="15">
        <f>=E7*0.05</f>
        <v>500</v>
      </c>
      <c r="G7" s="15">
        <f>=E7*0.05</f>
        <v>500</v>
      </c>
      <c r="H7" s="15">
        <f>=E7*0.1</f>
        <v>1000</v>
      </c>
      <c r="I7" s="15">
        <f>=E7*0.1</f>
        <v>1000</v>
      </c>
      <c r="J7" s="15">
        <f>=E7-I7-G7-F7</f>
        <v>8000</v>
      </c>
      <c r="K7" s="15">
        <f>=E7+F7+H7</f>
        <v>11500</v>
      </c>
    </row>
    <row r="8" spans="1:11">
      <c r="A8" s="7" t="s"/>
      <c r="B8" s="22" t="s">
        <v>37</v>
      </c>
      <c r="C8" s="15">
        <v>60</v>
      </c>
      <c r="D8" s="15">
        <v>600</v>
      </c>
      <c r="E8" s="15">
        <v>12000</v>
      </c>
      <c r="F8" s="15">
        <f>=E8*0.05</f>
        <v>600</v>
      </c>
      <c r="G8" s="15">
        <f>=E8*0.05</f>
        <v>600</v>
      </c>
      <c r="H8" s="15">
        <f>=E8*0.1</f>
        <v>1200</v>
      </c>
      <c r="I8" s="15">
        <f>=E8*0.1</f>
        <v>1200</v>
      </c>
      <c r="J8" s="15">
        <f>=E8-I8-G8-F8</f>
        <v>9600</v>
      </c>
      <c r="K8" s="15">
        <f>=E8+F8+H8</f>
        <v>13800</v>
      </c>
    </row>
    <row r="9" spans="1:11">
      <c r="A9" s="16" t="s">
        <v>58</v>
      </c>
      <c r="B9" s="22" t="s">
        <v>38</v>
      </c>
      <c r="C9" s="15">
        <v>70</v>
      </c>
      <c r="D9" s="15">
        <v>700</v>
      </c>
      <c r="E9" s="15">
        <v>14000</v>
      </c>
      <c r="F9" s="15">
        <f>=E9*0.05</f>
        <v>700</v>
      </c>
      <c r="G9" s="15">
        <f>=E9*0.05</f>
        <v>700</v>
      </c>
      <c r="H9" s="15">
        <f>=E9*0.1</f>
        <v>1400</v>
      </c>
      <c r="I9" s="15">
        <f>=E9*0.1</f>
        <v>1400</v>
      </c>
      <c r="J9" s="15">
        <f>=E9-I9-G9-F9</f>
        <v>11200</v>
      </c>
      <c r="K9" s="15">
        <f>=E9+F9+H9</f>
        <v>16100</v>
      </c>
    </row>
    <row r="10" spans="1:11">
      <c r="A10" s="24" t="s"/>
      <c r="B10" s="22" t="s">
        <v>39</v>
      </c>
      <c r="C10" s="15">
        <v>80</v>
      </c>
      <c r="D10" s="15">
        <v>800</v>
      </c>
      <c r="E10" s="15">
        <v>16000</v>
      </c>
      <c r="F10" s="15">
        <f>=E10*0.05</f>
        <v>800</v>
      </c>
      <c r="G10" s="15">
        <f>=E10*0.05</f>
        <v>800</v>
      </c>
      <c r="H10" s="15">
        <f>=E10*0.1</f>
        <v>1600</v>
      </c>
      <c r="I10" s="15">
        <f>=E10*0.1</f>
        <v>1600</v>
      </c>
      <c r="J10" s="15">
        <f>=E10-I10-G10-F10</f>
        <v>12800</v>
      </c>
      <c r="K10" s="15">
        <f>=E10+F10+H10</f>
        <v>18400</v>
      </c>
    </row>
    <row r="11" spans="1:11">
      <c r="A11" s="24" t="s"/>
      <c r="B11" s="22" t="s">
        <v>40</v>
      </c>
      <c r="C11" s="15">
        <v>90</v>
      </c>
      <c r="D11" s="15">
        <v>900</v>
      </c>
      <c r="E11" s="15">
        <v>18000</v>
      </c>
      <c r="F11" s="15">
        <f>=E11*0.05</f>
        <v>900</v>
      </c>
      <c r="G11" s="15">
        <f>=E11*0.05</f>
        <v>900</v>
      </c>
      <c r="H11" s="15">
        <f>=E11*0.1</f>
        <v>1800</v>
      </c>
      <c r="I11" s="15">
        <f>=E11*0.1</f>
        <v>1800</v>
      </c>
      <c r="J11" s="15">
        <f>=E11-I11-G11-F11</f>
        <v>14400</v>
      </c>
      <c r="K11" s="15">
        <f>=E11+F11+H11</f>
        <v>20700</v>
      </c>
    </row>
    <row r="12" spans="1:11">
      <c r="A12" s="7" t="s"/>
      <c r="B12" s="22" t="s">
        <v>41</v>
      </c>
      <c r="C12" s="15">
        <v>100</v>
      </c>
      <c r="D12" s="15">
        <v>1000</v>
      </c>
      <c r="E12" s="15">
        <v>20000</v>
      </c>
      <c r="F12" s="15">
        <f>=E12*0.05</f>
        <v>1000</v>
      </c>
      <c r="G12" s="15">
        <f>=E12*0.05</f>
        <v>1000</v>
      </c>
      <c r="H12" s="15">
        <f>=E12*0.1</f>
        <v>2000</v>
      </c>
      <c r="I12" s="15">
        <f>=E12*0.1</f>
        <v>2000</v>
      </c>
      <c r="J12" s="15">
        <f>=E12-I12-G12-F12</f>
        <v>16000</v>
      </c>
      <c r="K12" s="15">
        <f>=E12+F12+H12</f>
        <v>23000</v>
      </c>
    </row>
    <row r="13" spans="1:11">
      <c r="A13" s="9" t="s">
        <v>59</v>
      </c>
      <c r="B13" s="22" t="s">
        <v>42</v>
      </c>
      <c r="C13" s="15">
        <v>110</v>
      </c>
      <c r="D13" s="15">
        <v>1100</v>
      </c>
      <c r="E13" s="15">
        <v>22000</v>
      </c>
      <c r="F13" s="15">
        <f>=E13*0.05</f>
        <v>1100</v>
      </c>
      <c r="G13" s="15">
        <f>=E13*0.05</f>
        <v>1100</v>
      </c>
      <c r="H13" s="15">
        <f>=E13*0.1</f>
        <v>2200</v>
      </c>
      <c r="I13" s="15">
        <f>=E13*0.1</f>
        <v>2200</v>
      </c>
      <c r="J13" s="15">
        <f>=E13-I13-G13-F13</f>
        <v>17600</v>
      </c>
      <c r="K13" s="15">
        <f>=E13+F13+H13</f>
        <v>25300</v>
      </c>
    </row>
    <row r="14" spans="1:11">
      <c r="A14" s="24" t="s"/>
      <c r="B14" s="22" t="s">
        <v>43</v>
      </c>
      <c r="C14" s="15">
        <v>120</v>
      </c>
      <c r="D14" s="15">
        <v>1200</v>
      </c>
      <c r="E14" s="15">
        <v>24000</v>
      </c>
      <c r="F14" s="15">
        <f>=E14*0.05</f>
        <v>1200</v>
      </c>
      <c r="G14" s="15">
        <f>=E14*0.05</f>
        <v>1200</v>
      </c>
      <c r="H14" s="15">
        <f>=E14*0.1</f>
        <v>2400</v>
      </c>
      <c r="I14" s="15">
        <f>=E14*0.1</f>
        <v>2400</v>
      </c>
      <c r="J14" s="15">
        <f>=E14-I14-G14-F14</f>
        <v>19200</v>
      </c>
      <c r="K14" s="15">
        <f>=E14+F14+H14</f>
        <v>27600</v>
      </c>
    </row>
    <row r="15" spans="1:11">
      <c r="A15" s="24" t="s"/>
      <c r="B15" s="22" t="s">
        <v>44</v>
      </c>
      <c r="C15" s="15">
        <v>130</v>
      </c>
      <c r="D15" s="15">
        <v>1300</v>
      </c>
      <c r="E15" s="15">
        <v>26000</v>
      </c>
      <c r="F15" s="15">
        <f>=E15*0.05</f>
        <v>1300</v>
      </c>
      <c r="G15" s="15">
        <f>=E15*0.05</f>
        <v>1300</v>
      </c>
      <c r="H15" s="15">
        <f>=E15*0.1</f>
        <v>2600</v>
      </c>
      <c r="I15" s="15">
        <f>=E15*0.1</f>
        <v>2600</v>
      </c>
      <c r="J15" s="15">
        <f>=E15-I15-G15-F15</f>
        <v>20800</v>
      </c>
      <c r="K15" s="15">
        <f>=E15+F15+H15</f>
        <v>29900</v>
      </c>
    </row>
    <row r="16" spans="1:11">
      <c r="A16" s="7" t="s"/>
      <c r="B16" s="22" t="s">
        <v>45</v>
      </c>
      <c r="C16" s="15">
        <v>140</v>
      </c>
      <c r="D16" s="15">
        <v>1400</v>
      </c>
      <c r="E16" s="15">
        <v>28000</v>
      </c>
      <c r="F16" s="15">
        <f>=E16*0.05</f>
        <v>1400</v>
      </c>
      <c r="G16" s="15">
        <f>=E16*0.05</f>
        <v>1400</v>
      </c>
      <c r="H16" s="15">
        <f>=E16*0.1</f>
        <v>2800</v>
      </c>
      <c r="I16" s="15">
        <f>=E16*0.1</f>
        <v>2800</v>
      </c>
      <c r="J16" s="15">
        <f>=E16-I16-G16-F16</f>
        <v>22400</v>
      </c>
      <c r="K16" s="15">
        <f>=E16+F16+H16</f>
        <v>32200</v>
      </c>
    </row>
    <row r="17" spans="1:11">
      <c r="A17" s="16" t="s">
        <v>60</v>
      </c>
      <c r="B17" s="23" t="s">
        <v>46</v>
      </c>
      <c r="C17" s="16">
        <v>150</v>
      </c>
      <c r="D17" s="15">
        <v>1500</v>
      </c>
      <c r="E17" s="16">
        <v>30000</v>
      </c>
      <c r="F17" s="15">
        <f>=E17*0.05</f>
        <v>1500</v>
      </c>
      <c r="G17" s="15">
        <f>=E17*0.05</f>
        <v>1500</v>
      </c>
      <c r="H17" s="15">
        <f>=E17*0.1</f>
        <v>3000</v>
      </c>
      <c r="I17" s="15">
        <f>=E17*0.1</f>
        <v>3000</v>
      </c>
      <c r="J17" s="15">
        <f>=E17-I17-G17-F17</f>
        <v>24000</v>
      </c>
      <c r="K17" s="16">
        <f>=E17+F17+H17</f>
        <v>34500</v>
      </c>
    </row>
    <row r="18" spans="1:11">
      <c r="A18" s="24" t="s"/>
      <c r="B18" s="22" t="s">
        <v>47</v>
      </c>
      <c r="C18" s="15">
        <v>160</v>
      </c>
      <c r="D18" s="15">
        <v>1600</v>
      </c>
      <c r="E18" s="17">
        <v>32000</v>
      </c>
      <c r="F18" s="15">
        <f>=E18*0.05</f>
        <v>1600</v>
      </c>
      <c r="G18" s="15">
        <f>=E18*0.05</f>
        <v>1600</v>
      </c>
      <c r="H18" s="15">
        <f>=E18*0.1</f>
        <v>3200</v>
      </c>
      <c r="I18" s="15">
        <f>=E18*0.1</f>
        <v>3200</v>
      </c>
      <c r="J18" s="15">
        <f>=E18-I18-G18-F18</f>
        <v>25600</v>
      </c>
      <c r="K18" s="17">
        <f>=E18+F18+H18</f>
        <v>36800</v>
      </c>
    </row>
    <row r="19" spans="1:11">
      <c r="A19" s="24" t="s"/>
      <c r="B19" s="22" t="s">
        <v>48</v>
      </c>
      <c r="C19" s="15">
        <v>170</v>
      </c>
      <c r="D19" s="15">
        <v>1700</v>
      </c>
      <c r="E19" s="17">
        <v>34000</v>
      </c>
      <c r="F19" s="15">
        <f>=E19*0.05</f>
        <v>1700</v>
      </c>
      <c r="G19" s="15">
        <f>=E19*0.05</f>
        <v>1700</v>
      </c>
      <c r="H19" s="15">
        <f>=E19*0.1</f>
        <v>3400</v>
      </c>
      <c r="I19" s="15">
        <f>=E19*0.1</f>
        <v>3400</v>
      </c>
      <c r="J19" s="15">
        <f>=E19-I19-G19-F19</f>
        <v>27200</v>
      </c>
      <c r="K19" s="17">
        <f>=E19+F19+H19</f>
        <v>39100</v>
      </c>
    </row>
    <row r="20" spans="1:11">
      <c r="A20" s="7" t="s"/>
      <c r="B20" s="22" t="s">
        <v>49</v>
      </c>
      <c r="C20" s="15">
        <v>180</v>
      </c>
      <c r="D20" s="15">
        <v>1800</v>
      </c>
      <c r="E20" s="15">
        <v>36000</v>
      </c>
      <c r="F20" s="15">
        <f>=E20*0.05</f>
        <v>1800</v>
      </c>
      <c r="G20" s="15">
        <f>=E20*0.05</f>
        <v>1800</v>
      </c>
      <c r="H20" s="15">
        <f>=E20*0.1</f>
        <v>3600</v>
      </c>
      <c r="I20" s="15">
        <f>=E20*0.1</f>
        <v>3600</v>
      </c>
      <c r="J20" s="15">
        <f>=E20-I20-G20-F20</f>
        <v>28800</v>
      </c>
      <c r="K20" s="15">
        <f>=E20+F20+H20</f>
        <v>41400</v>
      </c>
    </row>
  </sheetData>
  <mergeCells count="14">
    <mergeCell ref="B1:B2"/>
    <mergeCell ref="E1:E2"/>
    <mergeCell ref="F1:G1"/>
    <mergeCell ref="H1:I1"/>
    <mergeCell ref="J1:J2"/>
    <mergeCell ref="K1:K2"/>
    <mergeCell ref="D1:D2"/>
    <mergeCell ref="C1:C2"/>
    <mergeCell ref="A1:A2"/>
    <mergeCell ref="A3:A5"/>
    <mergeCell ref="A6:A8"/>
    <mergeCell ref="A9:A12"/>
    <mergeCell ref="A13:A16"/>
    <mergeCell ref="A17:A20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2026-07-09T20:29:57Z</dcterms:created>
  <dcterms:modified xsi:type="dcterms:W3CDTF">2026-07-09T20:29:57Z</dcterms:modified>
</cp:coreProperties>
</file>